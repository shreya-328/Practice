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h Sales" sheetId="1" r:id="rId4"/>
    <sheet state="visible" name="Sales Statistics" sheetId="2" r:id="rId5"/>
  </sheets>
  <definedNames/>
  <calcPr/>
</workbook>
</file>

<file path=xl/sharedStrings.xml><?xml version="1.0" encoding="utf-8"?>
<sst xmlns="http://schemas.openxmlformats.org/spreadsheetml/2006/main" count="60" uniqueCount="40">
  <si>
    <t>MARCH 2024 SALES</t>
  </si>
  <si>
    <t>Date</t>
  </si>
  <si>
    <t>Website visits</t>
  </si>
  <si>
    <t>Sales Transactions</t>
  </si>
  <si>
    <t>Total Sales Value</t>
  </si>
  <si>
    <t>Total</t>
  </si>
  <si>
    <t>February 2024 Sales Statistics</t>
  </si>
  <si>
    <t>Sales Statistics</t>
  </si>
  <si>
    <t>Week  1</t>
  </si>
  <si>
    <t>Week 2</t>
  </si>
  <si>
    <t>Week 3</t>
  </si>
  <si>
    <t>Week 4</t>
  </si>
  <si>
    <t>TOTAL</t>
  </si>
  <si>
    <t>Total sales value</t>
  </si>
  <si>
    <t>$18,604.00</t>
  </si>
  <si>
    <t>$17,840.00</t>
  </si>
  <si>
    <t>$18,828.00</t>
  </si>
  <si>
    <t>$16,354.00</t>
  </si>
  <si>
    <t>$71,626.00</t>
  </si>
  <si>
    <t>Total number of website visits</t>
  </si>
  <si>
    <t>Total number of  sales transactions</t>
  </si>
  <si>
    <t>Average daily sales value</t>
  </si>
  <si>
    <t>$2,657.71</t>
  </si>
  <si>
    <t>$2,548.57</t>
  </si>
  <si>
    <t>$2,689.71</t>
  </si>
  <si>
    <t>$2,336.29</t>
  </si>
  <si>
    <t>$2,558.07</t>
  </si>
  <si>
    <t>Average number of transactions per day</t>
  </si>
  <si>
    <t>Average transaction value</t>
  </si>
  <si>
    <t>$136.79</t>
  </si>
  <si>
    <t>$145.04</t>
  </si>
  <si>
    <t>$162.31</t>
  </si>
  <si>
    <t>$160.33</t>
  </si>
  <si>
    <t>$150.16</t>
  </si>
  <si>
    <t>Total number of sales transactions</t>
  </si>
  <si>
    <t>Sales Statistics Comparison</t>
  </si>
  <si>
    <t>TOTAL FEB</t>
  </si>
  <si>
    <t>TOTAL MAR</t>
  </si>
  <si>
    <t>Difference</t>
  </si>
  <si>
    <t>% difference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</si>
</sst>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-409]#,##0.00"/>
  </numFmts>
  <fonts count="14">
    <font>
      <sz val="11.0"/>
      <color theme="1"/>
      <name val="Aptos narrow"/>
      <scheme val="minor"/>
    </font>
    <font>
      <b/>
      <sz val="11.0"/>
      <color theme="1"/>
      <name val="Aptos"/>
    </font>
    <font/>
    <font>
      <b/>
      <sz val="10.0"/>
      <color rgb="FF0D0D0D"/>
      <name val="Aptos"/>
    </font>
    <font>
      <sz val="10.0"/>
      <color rgb="FF0D0D0D"/>
      <name val="Aptos"/>
    </font>
    <font>
      <b/>
      <sz val="11.0"/>
      <color theme="1"/>
      <name val="Aptos narrow"/>
    </font>
    <font>
      <b/>
      <sz val="11.0"/>
      <color theme="1"/>
      <name val="Calibri"/>
    </font>
    <font>
      <b/>
      <sz val="11.0"/>
      <color rgb="FF000000"/>
      <name val="Aptos narrow"/>
    </font>
    <font>
      <b/>
      <sz val="12.0"/>
      <color rgb="FF0D0D0D"/>
      <name val="Aptos"/>
    </font>
    <font>
      <b/>
      <sz val="11.0"/>
      <color rgb="FF000000"/>
      <name val="Aptos"/>
    </font>
    <font>
      <sz val="11.0"/>
      <color rgb="FF0D0D0D"/>
      <name val="Aptos"/>
    </font>
    <font>
      <sz val="11.0"/>
      <color rgb="FF000000"/>
      <name val="Aptos"/>
    </font>
    <font>
      <sz val="11.0"/>
      <color rgb="FF000000"/>
      <name val="Calibri"/>
    </font>
    <font>
      <sz val="11.0"/>
      <color rgb="FF000000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A6C9EB"/>
        <bgColor rgb="FFA6C9EB"/>
      </patternFill>
    </fill>
    <fill>
      <patternFill patternType="solid">
        <fgColor rgb="FFDBE9F7"/>
        <bgColor rgb="FFDBE9F7"/>
      </patternFill>
    </fill>
    <fill>
      <patternFill patternType="solid">
        <fgColor rgb="FFFFFFFF"/>
        <bgColor rgb="FFFFFFFF"/>
      </patternFill>
    </fill>
    <fill>
      <patternFill patternType="solid">
        <fgColor rgb="FFDAE9F8"/>
        <bgColor rgb="FFDAE9F8"/>
      </patternFill>
    </fill>
  </fills>
  <borders count="8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14" xfId="0" applyAlignment="1" applyBorder="1" applyFill="1" applyFont="1" applyNumberFormat="1">
      <alignment shrinkToFit="0" vertical="center" wrapText="1"/>
    </xf>
    <xf borderId="4" fillId="4" fontId="4" numFmtId="3" xfId="0" applyAlignment="1" applyBorder="1" applyFont="1" applyNumberFormat="1">
      <alignment horizontal="center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4" fontId="4" numFmtId="164" xfId="0" applyAlignment="1" applyBorder="1" applyFont="1" applyNumberFormat="1">
      <alignment horizontal="right" shrinkToFit="0" vertical="center" wrapText="1"/>
    </xf>
    <xf borderId="4" fillId="3" fontId="5" numFmtId="0" xfId="0" applyBorder="1" applyFont="1"/>
    <xf borderId="4" fillId="3" fontId="1" numFmtId="3" xfId="0" applyAlignment="1" applyBorder="1" applyFont="1" applyNumberFormat="1">
      <alignment horizontal="center" vertical="center"/>
    </xf>
    <xf borderId="4" fillId="3" fontId="1" numFmtId="164" xfId="0" applyAlignment="1" applyBorder="1" applyFont="1" applyNumberFormat="1">
      <alignment horizontal="center" vertical="center"/>
    </xf>
    <xf borderId="0" fillId="0" fontId="6" numFmtId="0" xfId="0" applyAlignment="1" applyFont="1">
      <alignment vertical="center"/>
    </xf>
    <xf borderId="4" fillId="5" fontId="7" numFmtId="0" xfId="0" applyAlignment="1" applyBorder="1" applyFill="1" applyFont="1">
      <alignment vertical="center"/>
    </xf>
    <xf borderId="5" fillId="5" fontId="7" numFmtId="17" xfId="0" applyAlignment="1" applyBorder="1" applyFont="1" applyNumberForma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4" fillId="5" fontId="8" numFmtId="0" xfId="0" applyAlignment="1" applyBorder="1" applyFont="1">
      <alignment vertical="center"/>
    </xf>
    <xf borderId="4" fillId="5" fontId="9" numFmtId="0" xfId="0" applyAlignment="1" applyBorder="1" applyFont="1">
      <alignment horizontal="center" vertical="center"/>
    </xf>
    <xf borderId="4" fillId="0" fontId="10" numFmtId="0" xfId="0" applyAlignment="1" applyBorder="1" applyFont="1">
      <alignment vertical="center"/>
    </xf>
    <xf borderId="4" fillId="0" fontId="11" numFmtId="0" xfId="0" applyAlignment="1" applyBorder="1" applyFont="1">
      <alignment horizontal="right" vertical="center"/>
    </xf>
    <xf borderId="4" fillId="5" fontId="9" numFmtId="0" xfId="0" applyAlignment="1" applyBorder="1" applyFont="1">
      <alignment horizontal="right" vertical="center"/>
    </xf>
    <xf borderId="4" fillId="5" fontId="9" numFmtId="3" xfId="0" applyAlignment="1" applyBorder="1" applyFont="1" applyNumberFormat="1">
      <alignment horizontal="right" vertical="center"/>
    </xf>
    <xf borderId="4" fillId="0" fontId="12" numFmtId="0" xfId="0" applyAlignment="1" applyBorder="1" applyFont="1">
      <alignment vertical="center"/>
    </xf>
    <xf borderId="4" fillId="0" fontId="13" numFmtId="0" xfId="0" applyAlignment="1" applyBorder="1" applyFont="1">
      <alignment horizontal="right" vertical="center"/>
    </xf>
    <xf borderId="5" fillId="5" fontId="9" numFmtId="17" xfId="0" applyAlignment="1" applyBorder="1" applyFont="1" applyNumberFormat="1">
      <alignment horizontal="center" vertical="center"/>
    </xf>
    <xf borderId="4" fillId="0" fontId="11" numFmtId="0" xfId="0" applyAlignment="1" applyBorder="1" applyFont="1">
      <alignment vertical="center"/>
    </xf>
    <xf borderId="4" fillId="5" fontId="9" numFmtId="0" xfId="0" applyAlignment="1" applyBorder="1" applyFont="1">
      <alignment vertical="center"/>
    </xf>
    <xf borderId="4" fillId="0" fontId="13" numFmtId="0" xfId="0" applyAlignment="1" applyBorder="1" applyFont="1">
      <alignment vertical="center"/>
    </xf>
    <xf borderId="4" fillId="5" fontId="7" numFmtId="0" xfId="0" applyAlignment="1" applyBorder="1" applyFont="1">
      <alignment horizontal="center" vertical="center"/>
    </xf>
    <xf borderId="4" fillId="5" fontId="13" numFmtId="0" xfId="0" applyAlignment="1" applyBorder="1" applyFont="1">
      <alignment vertical="center"/>
    </xf>
    <xf borderId="4" fillId="5" fontId="13" numFmtId="0" xfId="0" applyAlignment="1" applyBorder="1" applyFont="1">
      <alignment horizontal="center" vertical="center"/>
    </xf>
    <xf borderId="4" fillId="0" fontId="13" numFmtId="3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3" width="8.63"/>
    <col customWidth="1" min="4" max="4" width="13.75"/>
    <col customWidth="1" min="5" max="26" width="8.63"/>
  </cols>
  <sheetData>
    <row r="1">
      <c r="A1" s="1" t="s">
        <v>0</v>
      </c>
      <c r="B1" s="2"/>
      <c r="C1" s="2"/>
      <c r="D1" s="3"/>
    </row>
    <row r="2">
      <c r="A2" s="4" t="s">
        <v>1</v>
      </c>
      <c r="B2" s="4" t="s">
        <v>2</v>
      </c>
      <c r="C2" s="4" t="s">
        <v>3</v>
      </c>
      <c r="D2" s="4" t="s">
        <v>4</v>
      </c>
    </row>
    <row r="3">
      <c r="A3" s="5">
        <v>45352.0</v>
      </c>
      <c r="B3" s="6">
        <f t="shared" ref="B3:B4" si="1">C3*6</f>
        <v>90</v>
      </c>
      <c r="C3" s="7">
        <v>15.0</v>
      </c>
      <c r="D3" s="8">
        <v>1800.0</v>
      </c>
    </row>
    <row r="4">
      <c r="A4" s="5">
        <v>45353.0</v>
      </c>
      <c r="B4" s="6">
        <f t="shared" si="1"/>
        <v>84</v>
      </c>
      <c r="C4" s="7">
        <v>14.0</v>
      </c>
      <c r="D4" s="8">
        <v>1650.0</v>
      </c>
    </row>
    <row r="5">
      <c r="A5" s="5">
        <v>45354.0</v>
      </c>
      <c r="B5" s="6">
        <v>153.0</v>
      </c>
      <c r="C5" s="7">
        <v>13.0</v>
      </c>
      <c r="D5" s="8">
        <v>1550.0</v>
      </c>
    </row>
    <row r="6">
      <c r="A6" s="5">
        <v>45355.0</v>
      </c>
      <c r="B6" s="6">
        <v>97.0</v>
      </c>
      <c r="C6" s="7">
        <v>12.0</v>
      </c>
      <c r="D6" s="8">
        <v>1700.0</v>
      </c>
    </row>
    <row r="7">
      <c r="A7" s="5">
        <v>45356.0</v>
      </c>
      <c r="B7" s="6">
        <f t="shared" ref="B7:B8" si="2">C7*6</f>
        <v>96</v>
      </c>
      <c r="C7" s="7">
        <v>16.0</v>
      </c>
      <c r="D7" s="8">
        <v>1900.0</v>
      </c>
    </row>
    <row r="8">
      <c r="A8" s="5">
        <v>45357.0</v>
      </c>
      <c r="B8" s="6">
        <f t="shared" si="2"/>
        <v>102</v>
      </c>
      <c r="C8" s="7">
        <v>17.0</v>
      </c>
      <c r="D8" s="8">
        <v>2000.0</v>
      </c>
    </row>
    <row r="9">
      <c r="A9" s="5">
        <v>45358.0</v>
      </c>
      <c r="B9" s="6">
        <v>112.0</v>
      </c>
      <c r="C9" s="7">
        <v>18.0</v>
      </c>
      <c r="D9" s="8">
        <v>1850.0</v>
      </c>
    </row>
    <row r="10">
      <c r="A10" s="5">
        <v>45359.0</v>
      </c>
      <c r="B10" s="6">
        <f t="shared" ref="B10:B12" si="3">C10*7</f>
        <v>105</v>
      </c>
      <c r="C10" s="7">
        <v>15.0</v>
      </c>
      <c r="D10" s="8">
        <v>1600.0</v>
      </c>
    </row>
    <row r="11">
      <c r="A11" s="5">
        <v>45360.0</v>
      </c>
      <c r="B11" s="6">
        <f t="shared" si="3"/>
        <v>91</v>
      </c>
      <c r="C11" s="7">
        <v>13.0</v>
      </c>
      <c r="D11" s="8">
        <v>1550.0</v>
      </c>
    </row>
    <row r="12">
      <c r="A12" s="5">
        <v>45361.0</v>
      </c>
      <c r="B12" s="6">
        <f t="shared" si="3"/>
        <v>112</v>
      </c>
      <c r="C12" s="7">
        <v>16.0</v>
      </c>
      <c r="D12" s="8">
        <v>1750.0</v>
      </c>
    </row>
    <row r="13">
      <c r="A13" s="5">
        <v>45362.0</v>
      </c>
      <c r="B13" s="6">
        <v>144.0</v>
      </c>
      <c r="C13" s="7">
        <v>10.0</v>
      </c>
      <c r="D13" s="8">
        <v>1450.0</v>
      </c>
    </row>
    <row r="14">
      <c r="A14" s="5">
        <v>45363.0</v>
      </c>
      <c r="B14" s="6">
        <v>204.0</v>
      </c>
      <c r="C14" s="7">
        <v>9.0</v>
      </c>
      <c r="D14" s="8">
        <v>1400.0</v>
      </c>
    </row>
    <row r="15">
      <c r="A15" s="5">
        <v>45364.0</v>
      </c>
      <c r="B15" s="6">
        <f>C15*9</f>
        <v>99</v>
      </c>
      <c r="C15" s="7">
        <v>11.0</v>
      </c>
      <c r="D15" s="8">
        <v>1500.0</v>
      </c>
    </row>
    <row r="16">
      <c r="A16" s="5">
        <v>45365.0</v>
      </c>
      <c r="B16" s="6">
        <v>198.0</v>
      </c>
      <c r="C16" s="7">
        <v>8.0</v>
      </c>
      <c r="D16" s="8">
        <v>1320.0</v>
      </c>
    </row>
    <row r="17">
      <c r="A17" s="5">
        <v>45366.0</v>
      </c>
      <c r="B17" s="6">
        <f t="shared" ref="B17:B22" si="4">C17*9</f>
        <v>108</v>
      </c>
      <c r="C17" s="7">
        <v>12.0</v>
      </c>
      <c r="D17" s="8">
        <v>1550.0</v>
      </c>
    </row>
    <row r="18">
      <c r="A18" s="5">
        <v>45367.0</v>
      </c>
      <c r="B18" s="6">
        <f t="shared" si="4"/>
        <v>81</v>
      </c>
      <c r="C18" s="7">
        <v>9.0</v>
      </c>
      <c r="D18" s="8">
        <v>1340.0</v>
      </c>
    </row>
    <row r="19">
      <c r="A19" s="5">
        <v>45368.0</v>
      </c>
      <c r="B19" s="6">
        <f t="shared" si="4"/>
        <v>90</v>
      </c>
      <c r="C19" s="7">
        <v>10.0</v>
      </c>
      <c r="D19" s="8">
        <v>1470.0</v>
      </c>
    </row>
    <row r="20">
      <c r="A20" s="5">
        <v>45369.0</v>
      </c>
      <c r="B20" s="6">
        <f t="shared" si="4"/>
        <v>72</v>
      </c>
      <c r="C20" s="7">
        <v>8.0</v>
      </c>
      <c r="D20" s="8">
        <v>1300.0</v>
      </c>
    </row>
    <row r="21" ht="15.75" customHeight="1">
      <c r="A21" s="5">
        <v>45370.0</v>
      </c>
      <c r="B21" s="6">
        <f t="shared" si="4"/>
        <v>63</v>
      </c>
      <c r="C21" s="7">
        <v>7.0</v>
      </c>
      <c r="D21" s="8">
        <v>1180.0</v>
      </c>
    </row>
    <row r="22" ht="15.75" customHeight="1">
      <c r="A22" s="5">
        <v>45371.0</v>
      </c>
      <c r="B22" s="6">
        <f t="shared" si="4"/>
        <v>81</v>
      </c>
      <c r="C22" s="7">
        <v>9.0</v>
      </c>
      <c r="D22" s="8">
        <v>1370.0</v>
      </c>
    </row>
    <row r="23" ht="15.75" customHeight="1">
      <c r="A23" s="5">
        <v>45372.0</v>
      </c>
      <c r="B23" s="6">
        <f t="shared" ref="B23:B24" si="5">C23*6</f>
        <v>36</v>
      </c>
      <c r="C23" s="7">
        <v>6.0</v>
      </c>
      <c r="D23" s="8">
        <v>1020.0</v>
      </c>
    </row>
    <row r="24" ht="15.75" customHeight="1">
      <c r="A24" s="5">
        <v>45373.0</v>
      </c>
      <c r="B24" s="6">
        <f t="shared" si="5"/>
        <v>48</v>
      </c>
      <c r="C24" s="7">
        <v>8.0</v>
      </c>
      <c r="D24" s="8">
        <v>1250.0</v>
      </c>
    </row>
    <row r="25" ht="15.75" customHeight="1">
      <c r="A25" s="5">
        <v>45374.0</v>
      </c>
      <c r="B25" s="6">
        <v>112.0</v>
      </c>
      <c r="C25" s="7">
        <v>7.0</v>
      </c>
      <c r="D25" s="8">
        <v>1150.0</v>
      </c>
    </row>
    <row r="26" ht="15.75" customHeight="1">
      <c r="A26" s="5">
        <v>45375.0</v>
      </c>
      <c r="B26" s="6">
        <f t="shared" ref="B26:B27" si="6">C26*7</f>
        <v>63</v>
      </c>
      <c r="C26" s="7">
        <v>9.0</v>
      </c>
      <c r="D26" s="8">
        <v>1350.0</v>
      </c>
    </row>
    <row r="27" ht="15.75" customHeight="1">
      <c r="A27" s="5">
        <v>45376.0</v>
      </c>
      <c r="B27" s="6">
        <f t="shared" si="6"/>
        <v>42</v>
      </c>
      <c r="C27" s="7">
        <v>6.0</v>
      </c>
      <c r="D27" s="8">
        <v>980.0</v>
      </c>
    </row>
    <row r="28" ht="15.75" customHeight="1">
      <c r="A28" s="5">
        <v>45377.0</v>
      </c>
      <c r="B28" s="6">
        <v>73.0</v>
      </c>
      <c r="C28" s="7">
        <v>8.0</v>
      </c>
      <c r="D28" s="8">
        <v>1200.0</v>
      </c>
    </row>
    <row r="29" ht="15.75" customHeight="1">
      <c r="A29" s="5">
        <v>45378.0</v>
      </c>
      <c r="B29" s="6">
        <v>124.0</v>
      </c>
      <c r="C29" s="7">
        <v>7.0</v>
      </c>
      <c r="D29" s="8">
        <v>1120.0</v>
      </c>
    </row>
    <row r="30" ht="15.75" customHeight="1">
      <c r="A30" s="5">
        <v>45379.0</v>
      </c>
      <c r="B30" s="6">
        <v>131.0</v>
      </c>
      <c r="C30" s="7">
        <v>9.0</v>
      </c>
      <c r="D30" s="8">
        <v>1320.0</v>
      </c>
    </row>
    <row r="31" ht="15.75" customHeight="1">
      <c r="A31" s="5">
        <v>45380.0</v>
      </c>
      <c r="B31" s="6">
        <v>120.0</v>
      </c>
      <c r="C31" s="7">
        <v>6.0</v>
      </c>
      <c r="D31" s="8">
        <v>920.0</v>
      </c>
    </row>
    <row r="32" ht="15.75" customHeight="1">
      <c r="A32" s="5">
        <v>45381.0</v>
      </c>
      <c r="B32" s="6">
        <v>153.0</v>
      </c>
      <c r="C32" s="7">
        <v>8.0</v>
      </c>
      <c r="D32" s="8">
        <v>1260.0</v>
      </c>
    </row>
    <row r="33" ht="15.75" customHeight="1">
      <c r="A33" s="5">
        <v>45382.0</v>
      </c>
      <c r="B33" s="6">
        <v>179.0</v>
      </c>
      <c r="C33" s="7">
        <v>7.0</v>
      </c>
      <c r="D33" s="8">
        <v>1100.0</v>
      </c>
    </row>
    <row r="34" ht="15.75" customHeight="1">
      <c r="A34" s="9" t="s">
        <v>5</v>
      </c>
      <c r="B34" s="10">
        <f t="shared" ref="B34:D34" si="7">SUM(B3:B33)</f>
        <v>3263</v>
      </c>
      <c r="C34" s="10">
        <f t="shared" si="7"/>
        <v>323</v>
      </c>
      <c r="D34" s="11">
        <f t="shared" si="7"/>
        <v>43900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0"/>
    <col customWidth="1" min="2" max="2" width="12.38"/>
    <col customWidth="1" min="3" max="3" width="13.38"/>
    <col customWidth="1" min="4" max="4" width="13.13"/>
    <col customWidth="1" min="5" max="5" width="12.25"/>
    <col customWidth="1" min="6" max="6" width="13.0"/>
    <col customWidth="1" min="7" max="26" width="8.63"/>
  </cols>
  <sheetData>
    <row r="1">
      <c r="A1" s="12" t="s">
        <v>6</v>
      </c>
    </row>
    <row r="2">
      <c r="A2" s="13"/>
      <c r="B2" s="14">
        <v>45323.0</v>
      </c>
      <c r="C2" s="15"/>
      <c r="D2" s="15"/>
      <c r="E2" s="15"/>
      <c r="F2" s="16"/>
    </row>
    <row r="3">
      <c r="A3" s="17" t="s">
        <v>7</v>
      </c>
      <c r="B3" s="18" t="s">
        <v>8</v>
      </c>
      <c r="C3" s="18" t="s">
        <v>9</v>
      </c>
      <c r="D3" s="18" t="s">
        <v>10</v>
      </c>
      <c r="E3" s="18" t="s">
        <v>11</v>
      </c>
      <c r="F3" s="18" t="s">
        <v>12</v>
      </c>
    </row>
    <row r="4">
      <c r="A4" s="19" t="s">
        <v>13</v>
      </c>
      <c r="B4" s="20" t="s">
        <v>14</v>
      </c>
      <c r="C4" s="20" t="s">
        <v>15</v>
      </c>
      <c r="D4" s="20" t="s">
        <v>16</v>
      </c>
      <c r="E4" s="20" t="s">
        <v>17</v>
      </c>
      <c r="F4" s="21" t="s">
        <v>18</v>
      </c>
    </row>
    <row r="5">
      <c r="A5" s="19" t="s">
        <v>19</v>
      </c>
      <c r="B5" s="20">
        <v>876.0</v>
      </c>
      <c r="C5" s="20">
        <v>820.0</v>
      </c>
      <c r="D5" s="20">
        <v>750.0</v>
      </c>
      <c r="E5" s="20">
        <v>690.0</v>
      </c>
      <c r="F5" s="22">
        <v>3136.0</v>
      </c>
    </row>
    <row r="6">
      <c r="A6" s="19" t="s">
        <v>20</v>
      </c>
      <c r="B6" s="20">
        <v>136.0</v>
      </c>
      <c r="C6" s="20">
        <v>123.0</v>
      </c>
      <c r="D6" s="20">
        <v>116.0</v>
      </c>
      <c r="E6" s="20">
        <v>102.0</v>
      </c>
      <c r="F6" s="21">
        <v>477.0</v>
      </c>
    </row>
    <row r="7">
      <c r="A7" s="19" t="s">
        <v>21</v>
      </c>
      <c r="B7" s="20" t="s">
        <v>22</v>
      </c>
      <c r="C7" s="20" t="s">
        <v>23</v>
      </c>
      <c r="D7" s="20" t="s">
        <v>24</v>
      </c>
      <c r="E7" s="20" t="s">
        <v>25</v>
      </c>
      <c r="F7" s="21" t="s">
        <v>26</v>
      </c>
    </row>
    <row r="8">
      <c r="A8" s="19" t="s">
        <v>27</v>
      </c>
      <c r="B8" s="20">
        <v>19.0</v>
      </c>
      <c r="C8" s="20">
        <v>18.0</v>
      </c>
      <c r="D8" s="20">
        <v>17.0</v>
      </c>
      <c r="E8" s="20">
        <v>15.0</v>
      </c>
      <c r="F8" s="21">
        <v>17.0</v>
      </c>
    </row>
    <row r="9">
      <c r="A9" s="23" t="s">
        <v>28</v>
      </c>
      <c r="B9" s="24" t="s">
        <v>29</v>
      </c>
      <c r="C9" s="24" t="s">
        <v>30</v>
      </c>
      <c r="D9" s="24" t="s">
        <v>31</v>
      </c>
      <c r="E9" s="24" t="s">
        <v>32</v>
      </c>
      <c r="F9" s="21" t="s">
        <v>33</v>
      </c>
    </row>
    <row r="12">
      <c r="A12" s="13"/>
      <c r="B12" s="25">
        <v>45352.0</v>
      </c>
      <c r="C12" s="15"/>
      <c r="D12" s="15"/>
      <c r="E12" s="15"/>
      <c r="F12" s="16"/>
    </row>
    <row r="13">
      <c r="A13" s="17" t="s">
        <v>7</v>
      </c>
      <c r="B13" s="18" t="s">
        <v>8</v>
      </c>
      <c r="C13" s="18" t="s">
        <v>9</v>
      </c>
      <c r="D13" s="18" t="s">
        <v>10</v>
      </c>
      <c r="E13" s="18" t="s">
        <v>11</v>
      </c>
      <c r="F13" s="18" t="s">
        <v>12</v>
      </c>
    </row>
    <row r="14">
      <c r="A14" s="19" t="s">
        <v>13</v>
      </c>
      <c r="B14" s="26"/>
      <c r="C14" s="26"/>
      <c r="D14" s="26"/>
      <c r="E14" s="26"/>
      <c r="F14" s="27"/>
    </row>
    <row r="15">
      <c r="A15" s="19" t="s">
        <v>19</v>
      </c>
      <c r="B15" s="26"/>
      <c r="C15" s="26"/>
      <c r="D15" s="26"/>
      <c r="E15" s="26"/>
      <c r="F15" s="27"/>
    </row>
    <row r="16">
      <c r="A16" s="19" t="s">
        <v>34</v>
      </c>
      <c r="B16" s="26"/>
      <c r="C16" s="26"/>
      <c r="D16" s="26"/>
      <c r="E16" s="26"/>
      <c r="F16" s="27"/>
    </row>
    <row r="17">
      <c r="A17" s="19" t="s">
        <v>21</v>
      </c>
      <c r="B17" s="26"/>
      <c r="C17" s="26"/>
      <c r="D17" s="26"/>
      <c r="E17" s="26"/>
      <c r="F17" s="27"/>
    </row>
    <row r="18">
      <c r="A18" s="19" t="s">
        <v>27</v>
      </c>
      <c r="B18" s="26"/>
      <c r="C18" s="26"/>
      <c r="D18" s="26"/>
      <c r="E18" s="26"/>
      <c r="F18" s="27"/>
    </row>
    <row r="19">
      <c r="A19" s="23" t="s">
        <v>28</v>
      </c>
      <c r="B19" s="28"/>
      <c r="C19" s="28"/>
      <c r="D19" s="28"/>
      <c r="E19" s="28"/>
      <c r="F19" s="13"/>
    </row>
    <row r="21" ht="15.75" customHeight="1"/>
    <row r="22" ht="15.75" customHeight="1"/>
    <row r="23" ht="15.75" customHeight="1">
      <c r="A23" s="17" t="s">
        <v>35</v>
      </c>
      <c r="B23" s="29" t="s">
        <v>36</v>
      </c>
      <c r="C23" s="29" t="s">
        <v>37</v>
      </c>
      <c r="D23" s="29" t="s">
        <v>38</v>
      </c>
      <c r="E23" s="29" t="s">
        <v>39</v>
      </c>
    </row>
    <row r="24" ht="15.75" customHeight="1">
      <c r="A24" s="19" t="s">
        <v>13</v>
      </c>
      <c r="B24" s="24" t="s">
        <v>18</v>
      </c>
      <c r="C24" s="28"/>
      <c r="D24" s="30"/>
      <c r="E24" s="31"/>
    </row>
    <row r="25" ht="15.75" customHeight="1">
      <c r="A25" s="19" t="s">
        <v>19</v>
      </c>
      <c r="B25" s="32">
        <v>3136.0</v>
      </c>
      <c r="C25" s="28"/>
      <c r="D25" s="30"/>
      <c r="E25" s="31"/>
    </row>
    <row r="26" ht="15.75" customHeight="1">
      <c r="A26" s="19" t="s">
        <v>20</v>
      </c>
      <c r="B26" s="24">
        <v>477.0</v>
      </c>
      <c r="C26" s="28"/>
      <c r="D26" s="30"/>
      <c r="E26" s="31"/>
    </row>
    <row r="27" ht="15.75" customHeight="1">
      <c r="A27" s="19" t="s">
        <v>21</v>
      </c>
      <c r="B27" s="24" t="s">
        <v>26</v>
      </c>
      <c r="C27" s="28"/>
      <c r="D27" s="30"/>
      <c r="E27" s="31"/>
    </row>
    <row r="28" ht="15.75" customHeight="1">
      <c r="A28" s="19" t="s">
        <v>27</v>
      </c>
      <c r="B28" s="24">
        <v>17.0</v>
      </c>
      <c r="C28" s="28"/>
      <c r="D28" s="30"/>
      <c r="E28" s="31"/>
    </row>
    <row r="29" ht="15.75" customHeight="1">
      <c r="A29" s="23" t="s">
        <v>28</v>
      </c>
      <c r="B29" s="24" t="s">
        <v>33</v>
      </c>
      <c r="C29" s="28"/>
      <c r="D29" s="30"/>
      <c r="E29" s="3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F2"/>
    <mergeCell ref="B12:F12"/>
  </mergeCells>
  <printOptions/>
  <pageMargins bottom="0.75" footer="0.0" header="0.0" left="0.7" right="0.7" top="0.75"/>
  <pageSetup orientation="landscape"/>
  <drawing r:id="rId1"/>
</worksheet>
</file>